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clarke/Documents/MATLAB/EulerODE/"/>
    </mc:Choice>
  </mc:AlternateContent>
  <xr:revisionPtr revIDLastSave="0" documentId="13_ncr:1_{B91B6BA8-BC41-894B-B22C-25E391D5976F}" xr6:coauthVersionLast="47" xr6:coauthVersionMax="47" xr10:uidLastSave="{00000000-0000-0000-0000-000000000000}"/>
  <bookViews>
    <workbookView xWindow="9220" yWindow="500" windowWidth="19200" windowHeight="16940" xr2:uid="{629435C0-A873-8841-9A6C-0AC233D8E7F4}"/>
  </bookViews>
  <sheets>
    <sheet name="Sheet1" sheetId="1" r:id="rId1"/>
  </sheets>
  <definedNames>
    <definedName name="delta">Sheet1!$F$5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C3" i="1" s="1"/>
  <c r="D4" i="1"/>
  <c r="C4" i="1" s="1"/>
  <c r="D5" i="1"/>
  <c r="C5" i="1" s="1"/>
  <c r="D6" i="1"/>
  <c r="C6" i="1" s="1"/>
  <c r="D7" i="1"/>
  <c r="C7" i="1" s="1"/>
  <c r="D8" i="1"/>
  <c r="C8" i="1" s="1"/>
  <c r="D9" i="1"/>
  <c r="C9" i="1" s="1"/>
  <c r="D10" i="1"/>
  <c r="C10" i="1" s="1"/>
  <c r="D11" i="1"/>
  <c r="C11" i="1" s="1"/>
  <c r="D12" i="1"/>
  <c r="C12" i="1" s="1"/>
  <c r="D13" i="1"/>
  <c r="C13" i="1" s="1"/>
  <c r="D14" i="1"/>
  <c r="C14" i="1" s="1"/>
  <c r="D15" i="1"/>
  <c r="C15" i="1" s="1"/>
  <c r="D16" i="1"/>
  <c r="C16" i="1" s="1"/>
  <c r="D17" i="1"/>
  <c r="C17" i="1" s="1"/>
  <c r="D18" i="1"/>
  <c r="C18" i="1" s="1"/>
  <c r="D19" i="1"/>
  <c r="C19" i="1" s="1"/>
  <c r="D20" i="1"/>
  <c r="C20" i="1" s="1"/>
  <c r="D21" i="1"/>
  <c r="C21" i="1" s="1"/>
  <c r="D22" i="1"/>
  <c r="C22" i="1" s="1"/>
  <c r="D23" i="1"/>
  <c r="C23" i="1" s="1"/>
  <c r="D24" i="1"/>
  <c r="C24" i="1" s="1"/>
  <c r="D25" i="1"/>
  <c r="C25" i="1" s="1"/>
  <c r="D26" i="1"/>
  <c r="C26" i="1" s="1"/>
  <c r="D27" i="1"/>
  <c r="C27" i="1" s="1"/>
  <c r="D28" i="1"/>
  <c r="C28" i="1" s="1"/>
  <c r="D29" i="1"/>
  <c r="C29" i="1" s="1"/>
  <c r="D30" i="1"/>
  <c r="C30" i="1" s="1"/>
  <c r="D31" i="1"/>
  <c r="C31" i="1" s="1"/>
  <c r="D32" i="1"/>
  <c r="C32" i="1" s="1"/>
  <c r="D33" i="1"/>
  <c r="C33" i="1" s="1"/>
  <c r="D34" i="1"/>
  <c r="C34" i="1" s="1"/>
  <c r="D35" i="1"/>
  <c r="C35" i="1" s="1"/>
  <c r="D36" i="1"/>
  <c r="C36" i="1" s="1"/>
  <c r="D37" i="1"/>
  <c r="C37" i="1" s="1"/>
  <c r="D38" i="1"/>
  <c r="C38" i="1" s="1"/>
  <c r="D39" i="1"/>
  <c r="C39" i="1" s="1"/>
  <c r="D40" i="1"/>
  <c r="C40" i="1" s="1"/>
  <c r="D41" i="1"/>
  <c r="C41" i="1" s="1"/>
  <c r="D42" i="1"/>
  <c r="C42" i="1" s="1"/>
  <c r="D43" i="1"/>
  <c r="C43" i="1" s="1"/>
  <c r="D44" i="1"/>
  <c r="C44" i="1" s="1"/>
  <c r="D45" i="1"/>
  <c r="C45" i="1" s="1"/>
  <c r="D46" i="1"/>
  <c r="C46" i="1" s="1"/>
  <c r="D47" i="1"/>
  <c r="C47" i="1" s="1"/>
  <c r="D48" i="1"/>
  <c r="C48" i="1" s="1"/>
  <c r="D49" i="1"/>
  <c r="C49" i="1" s="1"/>
  <c r="D50" i="1"/>
  <c r="C50" i="1" s="1"/>
  <c r="D51" i="1"/>
  <c r="C51" i="1" s="1"/>
  <c r="D52" i="1"/>
  <c r="C52" i="1" s="1"/>
  <c r="D53" i="1"/>
  <c r="C53" i="1" s="1"/>
  <c r="D54" i="1"/>
  <c r="C54" i="1" s="1"/>
  <c r="D55" i="1"/>
  <c r="C55" i="1" s="1"/>
  <c r="D56" i="1"/>
  <c r="C56" i="1" s="1"/>
  <c r="D57" i="1"/>
  <c r="C57" i="1" s="1"/>
  <c r="D58" i="1"/>
  <c r="C58" i="1" s="1"/>
  <c r="D59" i="1"/>
  <c r="C59" i="1" s="1"/>
  <c r="D60" i="1"/>
  <c r="C60" i="1" s="1"/>
  <c r="D61" i="1"/>
  <c r="C61" i="1" s="1"/>
  <c r="D62" i="1"/>
  <c r="C62" i="1" s="1"/>
  <c r="D63" i="1"/>
  <c r="C63" i="1" s="1"/>
  <c r="D64" i="1"/>
  <c r="C64" i="1" s="1"/>
  <c r="D65" i="1"/>
  <c r="C65" i="1" s="1"/>
  <c r="D66" i="1"/>
  <c r="C66" i="1" s="1"/>
  <c r="D67" i="1"/>
  <c r="C67" i="1" s="1"/>
  <c r="D68" i="1"/>
  <c r="C68" i="1" s="1"/>
  <c r="D69" i="1"/>
  <c r="C69" i="1" s="1"/>
  <c r="D70" i="1"/>
  <c r="C70" i="1" s="1"/>
  <c r="D71" i="1"/>
  <c r="C71" i="1" s="1"/>
  <c r="D72" i="1"/>
  <c r="C72" i="1" s="1"/>
  <c r="D73" i="1"/>
  <c r="C73" i="1" s="1"/>
  <c r="D74" i="1"/>
  <c r="C74" i="1" s="1"/>
  <c r="D75" i="1"/>
  <c r="C75" i="1" s="1"/>
  <c r="D76" i="1"/>
  <c r="C76" i="1" s="1"/>
  <c r="D77" i="1"/>
  <c r="C77" i="1" s="1"/>
  <c r="D78" i="1"/>
  <c r="C78" i="1" s="1"/>
  <c r="D79" i="1"/>
  <c r="C79" i="1" s="1"/>
  <c r="D80" i="1"/>
  <c r="C80" i="1" s="1"/>
  <c r="D81" i="1"/>
  <c r="C81" i="1" s="1"/>
  <c r="D82" i="1"/>
  <c r="C82" i="1" s="1"/>
  <c r="D83" i="1"/>
  <c r="C83" i="1" s="1"/>
  <c r="D84" i="1"/>
  <c r="C84" i="1" s="1"/>
  <c r="D85" i="1"/>
  <c r="C85" i="1" s="1"/>
  <c r="D86" i="1"/>
  <c r="C86" i="1" s="1"/>
  <c r="D87" i="1"/>
  <c r="C87" i="1" s="1"/>
  <c r="D88" i="1"/>
  <c r="C88" i="1" s="1"/>
  <c r="D89" i="1"/>
  <c r="C89" i="1" s="1"/>
  <c r="D90" i="1"/>
  <c r="C90" i="1" s="1"/>
  <c r="D91" i="1"/>
  <c r="C91" i="1" s="1"/>
  <c r="D92" i="1"/>
  <c r="C92" i="1" s="1"/>
  <c r="D93" i="1"/>
  <c r="C93" i="1" s="1"/>
  <c r="D94" i="1"/>
  <c r="C94" i="1" s="1"/>
  <c r="D95" i="1"/>
  <c r="C95" i="1" s="1"/>
  <c r="D96" i="1"/>
  <c r="C96" i="1" s="1"/>
  <c r="D97" i="1"/>
  <c r="C97" i="1" s="1"/>
  <c r="D98" i="1"/>
  <c r="C98" i="1" s="1"/>
  <c r="D99" i="1"/>
  <c r="C99" i="1" s="1"/>
  <c r="D100" i="1"/>
  <c r="C100" i="1" s="1"/>
  <c r="D101" i="1"/>
  <c r="C101" i="1" s="1"/>
  <c r="D102" i="1"/>
  <c r="C102" i="1" s="1"/>
  <c r="D103" i="1"/>
  <c r="C103" i="1" s="1"/>
  <c r="D104" i="1"/>
  <c r="C104" i="1" s="1"/>
  <c r="D105" i="1"/>
  <c r="C105" i="1" s="1"/>
  <c r="D106" i="1"/>
  <c r="C106" i="1" s="1"/>
  <c r="C2" i="1"/>
</calcChain>
</file>

<file path=xl/sharedStrings.xml><?xml version="1.0" encoding="utf-8"?>
<sst xmlns="http://schemas.openxmlformats.org/spreadsheetml/2006/main" count="5" uniqueCount="5">
  <si>
    <t>t_(s)</t>
  </si>
  <si>
    <t>Po_(psi)</t>
  </si>
  <si>
    <t>Po_SI_(N/m^2)</t>
  </si>
  <si>
    <t>Regression rate</t>
  </si>
  <si>
    <t>P_0(6.9Mpa and 0.67)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</si>
</sst>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2">
    <cellStyle name="Normal" xfId="0" builtinId="0"/>
    <cellStyle name="Normal 2" xfId="1" xr:uid="{A19795E6-17D7-4F45-84EF-A5A26EDBB8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E7B1-3D64-244B-8160-9A607348E5E5}">
  <dimension ref="A1:E106"/>
  <sheetViews>
    <sheetView tabSelected="1" zoomScale="107" zoomScaleNormal="100" workbookViewId="0">
      <selection activeCell="D3" sqref="D3"/>
    </sheetView>
  </sheetViews>
  <sheetFormatPr baseColWidth="10" defaultRowHeight="16" x14ac:dyDescent="0.2"/>
  <cols>
    <col min="2" max="2" width="8.83203125" customWidth="1"/>
    <col min="3" max="3" width="17" customWidth="1"/>
    <col min="4" max="4" width="21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4</v>
      </c>
      <c r="E1" s="2" t="s">
        <v>3</v>
      </c>
    </row>
    <row r="2" spans="1:5" x14ac:dyDescent="0.2">
      <c r="A2">
        <v>0</v>
      </c>
      <c r="B2">
        <v>0</v>
      </c>
      <c r="C2">
        <f>D2*10^6</f>
        <v>0</v>
      </c>
      <c r="D2">
        <f>6.5*(E2^0.63)</f>
        <v>0</v>
      </c>
      <c r="E2">
        <v>0</v>
      </c>
    </row>
    <row r="3" spans="1:5" x14ac:dyDescent="0.2">
      <c r="A3">
        <v>0.01</v>
      </c>
      <c r="B3">
        <v>97.335099999999997</v>
      </c>
      <c r="C3">
        <f t="shared" ref="C3:C66" si="0">D3*10^6</f>
        <v>244604.02938986197</v>
      </c>
      <c r="D3">
        <f>((E3)/6.9)^(1/0.67)</f>
        <v>0.24460402938986198</v>
      </c>
      <c r="E3">
        <v>2.6860847264800798</v>
      </c>
    </row>
    <row r="4" spans="1:5" x14ac:dyDescent="0.2">
      <c r="A4">
        <v>0.02</v>
      </c>
      <c r="B4">
        <v>150.02809999999999</v>
      </c>
      <c r="C4">
        <f t="shared" si="0"/>
        <v>465768.93480868434</v>
      </c>
      <c r="D4">
        <f t="shared" ref="D4:D67" si="1">((E4)/6.9)^(1/0.67)</f>
        <v>0.46576893480868431</v>
      </c>
      <c r="E4">
        <v>4.1354553732907098</v>
      </c>
    </row>
    <row r="5" spans="1:5" x14ac:dyDescent="0.2">
      <c r="A5">
        <v>0.03</v>
      </c>
      <c r="B5">
        <v>169.78809999999999</v>
      </c>
      <c r="C5">
        <f t="shared" si="0"/>
        <v>558768.17338053149</v>
      </c>
      <c r="D5">
        <f t="shared" si="1"/>
        <v>0.55876817338053153</v>
      </c>
      <c r="E5">
        <v>4.6719082352086065</v>
      </c>
    </row>
    <row r="6" spans="1:5" x14ac:dyDescent="0.2">
      <c r="A6">
        <v>0.04</v>
      </c>
      <c r="B6">
        <v>453.00810000000001</v>
      </c>
      <c r="C6">
        <f t="shared" si="0"/>
        <v>2410310.9334743428</v>
      </c>
      <c r="D6">
        <f t="shared" si="1"/>
        <v>2.4103109334743427</v>
      </c>
      <c r="E6">
        <v>12.440506089762842</v>
      </c>
    </row>
    <row r="7" spans="1:5" x14ac:dyDescent="0.2">
      <c r="A7">
        <v>0.05</v>
      </c>
      <c r="B7">
        <v>505.7081</v>
      </c>
      <c r="C7">
        <f t="shared" si="0"/>
        <v>2818829.2845860077</v>
      </c>
      <c r="D7">
        <f t="shared" si="1"/>
        <v>2.8188292845860077</v>
      </c>
      <c r="E7">
        <v>13.816408644989036</v>
      </c>
    </row>
    <row r="8" spans="1:5" x14ac:dyDescent="0.2">
      <c r="A8">
        <v>6.0000000000000005E-2</v>
      </c>
      <c r="B8">
        <v>524.73810000000003</v>
      </c>
      <c r="C8">
        <f t="shared" si="0"/>
        <v>2953965.5368200666</v>
      </c>
      <c r="D8">
        <f t="shared" si="1"/>
        <v>2.9539655368200668</v>
      </c>
      <c r="E8">
        <v>14.256756265938</v>
      </c>
    </row>
    <row r="9" spans="1:5" x14ac:dyDescent="0.2">
      <c r="A9">
        <v>7.0000000000000007E-2</v>
      </c>
      <c r="B9">
        <v>538.63810000000001</v>
      </c>
      <c r="C9">
        <f t="shared" si="0"/>
        <v>3046060.543618592</v>
      </c>
      <c r="D9">
        <f t="shared" si="1"/>
        <v>3.0460605436185921</v>
      </c>
      <c r="E9">
        <v>14.55304615123783</v>
      </c>
    </row>
    <row r="10" spans="1:5" x14ac:dyDescent="0.2">
      <c r="A10">
        <v>0.08</v>
      </c>
      <c r="B10">
        <v>554.73810000000003</v>
      </c>
      <c r="C10">
        <f t="shared" si="0"/>
        <v>3156840.7810408468</v>
      </c>
      <c r="D10">
        <f t="shared" si="1"/>
        <v>3.156840781040847</v>
      </c>
      <c r="E10">
        <v>14.905563024756468</v>
      </c>
    </row>
    <row r="11" spans="1:5" x14ac:dyDescent="0.2">
      <c r="A11">
        <v>0.09</v>
      </c>
      <c r="B11">
        <v>569.00810000000001</v>
      </c>
      <c r="C11">
        <f t="shared" si="0"/>
        <v>3252132.9115937189</v>
      </c>
      <c r="D11">
        <f t="shared" si="1"/>
        <v>3.2521329115937188</v>
      </c>
      <c r="E11">
        <v>15.205539813364997</v>
      </c>
    </row>
    <row r="12" spans="1:5" x14ac:dyDescent="0.2">
      <c r="A12">
        <v>0.1</v>
      </c>
      <c r="B12">
        <v>585.47810000000004</v>
      </c>
      <c r="C12">
        <f t="shared" si="0"/>
        <v>3366384.5097174086</v>
      </c>
      <c r="D12">
        <f t="shared" si="1"/>
        <v>3.3663845097174088</v>
      </c>
      <c r="E12">
        <v>15.561404182868522</v>
      </c>
    </row>
    <row r="13" spans="1:5" x14ac:dyDescent="0.2">
      <c r="A13">
        <v>0.10999999999999999</v>
      </c>
      <c r="B13">
        <v>595.71810000000005</v>
      </c>
      <c r="C13">
        <f t="shared" si="0"/>
        <v>3427225.7333004689</v>
      </c>
      <c r="D13">
        <f t="shared" si="1"/>
        <v>3.4272257333004688</v>
      </c>
      <c r="E13">
        <v>15.749280082261427</v>
      </c>
    </row>
    <row r="14" spans="1:5" x14ac:dyDescent="0.2">
      <c r="A14">
        <v>0.11999999999999998</v>
      </c>
      <c r="B14">
        <v>602.30810000000008</v>
      </c>
      <c r="C14">
        <f t="shared" si="0"/>
        <v>3456974.5217933063</v>
      </c>
      <c r="D14">
        <f t="shared" si="1"/>
        <v>3.4569745217933066</v>
      </c>
      <c r="E14">
        <v>15.840742360667626</v>
      </c>
    </row>
    <row r="15" spans="1:5" x14ac:dyDescent="0.2">
      <c r="A15">
        <v>0.12999999999999998</v>
      </c>
      <c r="B15">
        <v>611.82810000000006</v>
      </c>
      <c r="C15">
        <f t="shared" si="0"/>
        <v>3512271.7588231731</v>
      </c>
      <c r="D15">
        <f t="shared" si="1"/>
        <v>3.5122717588231733</v>
      </c>
      <c r="E15">
        <v>16.010066121546245</v>
      </c>
    </row>
    <row r="16" spans="1:5" x14ac:dyDescent="0.2">
      <c r="A16">
        <v>0.13999999999999999</v>
      </c>
      <c r="B16">
        <v>619.50810000000001</v>
      </c>
      <c r="C16">
        <f t="shared" si="0"/>
        <v>3552141.9611694417</v>
      </c>
      <c r="D16">
        <f t="shared" si="1"/>
        <v>3.5521419611694416</v>
      </c>
      <c r="E16">
        <v>16.131605810999474</v>
      </c>
    </row>
    <row r="17" spans="1:5" x14ac:dyDescent="0.2">
      <c r="A17">
        <v>0.15</v>
      </c>
      <c r="B17">
        <v>624.99810000000002</v>
      </c>
      <c r="C17">
        <f t="shared" si="0"/>
        <v>3573767.4439367708</v>
      </c>
      <c r="D17">
        <f t="shared" si="1"/>
        <v>3.5737674439367706</v>
      </c>
      <c r="E17">
        <v>16.197340195095219</v>
      </c>
    </row>
    <row r="18" spans="1:5" x14ac:dyDescent="0.2">
      <c r="A18">
        <v>0.16</v>
      </c>
      <c r="B18">
        <v>630.11810000000003</v>
      </c>
      <c r="C18">
        <f t="shared" si="0"/>
        <v>3592887.3429573365</v>
      </c>
      <c r="D18">
        <f t="shared" si="1"/>
        <v>3.5928873429573365</v>
      </c>
      <c r="E18">
        <v>16.255349167498895</v>
      </c>
    </row>
    <row r="19" spans="1:5" x14ac:dyDescent="0.2">
      <c r="A19">
        <v>0.17</v>
      </c>
      <c r="B19">
        <v>636.33810000000005</v>
      </c>
      <c r="C19">
        <f t="shared" si="0"/>
        <v>3622035.0304146609</v>
      </c>
      <c r="D19">
        <f t="shared" si="1"/>
        <v>3.6220350304146609</v>
      </c>
      <c r="E19">
        <v>16.343586417784135</v>
      </c>
    </row>
    <row r="20" spans="1:5" x14ac:dyDescent="0.2">
      <c r="A20">
        <v>0.18000000000000002</v>
      </c>
      <c r="B20">
        <v>647.68810000000008</v>
      </c>
      <c r="C20">
        <f t="shared" si="0"/>
        <v>3695405.3755019605</v>
      </c>
      <c r="D20">
        <f t="shared" si="1"/>
        <v>3.6954053755019607</v>
      </c>
      <c r="E20">
        <v>16.5646661926578</v>
      </c>
    </row>
    <row r="21" spans="1:5" x14ac:dyDescent="0.2">
      <c r="A21">
        <v>0.19000000000000003</v>
      </c>
      <c r="B21">
        <v>668.53809999999999</v>
      </c>
      <c r="C21">
        <f t="shared" si="0"/>
        <v>3850675.853577469</v>
      </c>
      <c r="D21">
        <f t="shared" si="1"/>
        <v>3.850675853577469</v>
      </c>
      <c r="E21">
        <v>17.02781233123838</v>
      </c>
    </row>
    <row r="22" spans="1:5" x14ac:dyDescent="0.2">
      <c r="A22">
        <v>0.20000000000000004</v>
      </c>
      <c r="B22">
        <v>682.07810000000006</v>
      </c>
      <c r="C22">
        <f t="shared" si="0"/>
        <v>3943899.7744183522</v>
      </c>
      <c r="D22">
        <f t="shared" si="1"/>
        <v>3.9438997744183522</v>
      </c>
      <c r="E22">
        <v>17.302920942382269</v>
      </c>
    </row>
    <row r="23" spans="1:5" x14ac:dyDescent="0.2">
      <c r="A23">
        <v>0.21000000000000005</v>
      </c>
      <c r="B23">
        <v>686.83810000000005</v>
      </c>
      <c r="C23">
        <f t="shared" si="0"/>
        <v>3962016.033775263</v>
      </c>
      <c r="D23">
        <f t="shared" si="1"/>
        <v>3.9620160337752628</v>
      </c>
      <c r="E23">
        <v>17.356132781242394</v>
      </c>
    </row>
    <row r="24" spans="1:5" x14ac:dyDescent="0.2">
      <c r="A24">
        <v>0.22000000000000006</v>
      </c>
      <c r="B24">
        <v>694.5181</v>
      </c>
      <c r="C24">
        <f t="shared" si="0"/>
        <v>4006189.965174743</v>
      </c>
      <c r="D24">
        <f t="shared" si="1"/>
        <v>4.0061899651747428</v>
      </c>
      <c r="E24">
        <v>17.485546953295806</v>
      </c>
    </row>
    <row r="25" spans="1:5" x14ac:dyDescent="0.2">
      <c r="A25">
        <v>0.23000000000000007</v>
      </c>
      <c r="B25">
        <v>702.93810000000008</v>
      </c>
      <c r="C25">
        <f t="shared" si="0"/>
        <v>4057565.5083116465</v>
      </c>
      <c r="D25">
        <f t="shared" si="1"/>
        <v>4.0575655083116464</v>
      </c>
      <c r="E25">
        <v>17.63546854429713</v>
      </c>
    </row>
    <row r="26" spans="1:5" x14ac:dyDescent="0.2">
      <c r="A26">
        <v>0.24000000000000007</v>
      </c>
      <c r="B26">
        <v>706.22810000000004</v>
      </c>
      <c r="C26">
        <f t="shared" si="0"/>
        <v>4065644.6766165057</v>
      </c>
      <c r="D26">
        <f t="shared" si="1"/>
        <v>4.0656446766165057</v>
      </c>
      <c r="E26">
        <v>17.658987624925633</v>
      </c>
    </row>
    <row r="27" spans="1:5" x14ac:dyDescent="0.2">
      <c r="A27">
        <v>0.25000000000000006</v>
      </c>
      <c r="B27">
        <v>710.61810000000003</v>
      </c>
      <c r="C27">
        <f t="shared" si="0"/>
        <v>4084265.0698326393</v>
      </c>
      <c r="D27">
        <f t="shared" si="1"/>
        <v>4.0842650698326395</v>
      </c>
      <c r="E27">
        <v>17.713134373371258</v>
      </c>
    </row>
    <row r="28" spans="1:5" x14ac:dyDescent="0.2">
      <c r="A28">
        <v>0.26000000000000006</v>
      </c>
      <c r="B28">
        <v>717.20810000000006</v>
      </c>
      <c r="C28">
        <f t="shared" si="0"/>
        <v>4122794.7065364551</v>
      </c>
      <c r="D28">
        <f t="shared" si="1"/>
        <v>4.122794706536455</v>
      </c>
      <c r="E28">
        <v>17.824917820836756</v>
      </c>
    </row>
    <row r="29" spans="1:5" x14ac:dyDescent="0.2">
      <c r="A29">
        <v>0.27000000000000007</v>
      </c>
      <c r="B29">
        <v>717.93810000000008</v>
      </c>
      <c r="C29">
        <f t="shared" si="0"/>
        <v>4112127.9359869109</v>
      </c>
      <c r="D29">
        <f t="shared" si="1"/>
        <v>4.1121279359869112</v>
      </c>
      <c r="E29">
        <v>17.794005674859136</v>
      </c>
    </row>
    <row r="30" spans="1:5" x14ac:dyDescent="0.2">
      <c r="A30">
        <v>0.28000000000000008</v>
      </c>
      <c r="B30">
        <v>723.06810000000007</v>
      </c>
      <c r="C30">
        <f t="shared" si="0"/>
        <v>4140307.4613326457</v>
      </c>
      <c r="D30">
        <f t="shared" si="1"/>
        <v>4.1403074613326458</v>
      </c>
      <c r="E30">
        <v>17.875612359038012</v>
      </c>
    </row>
    <row r="31" spans="1:5" x14ac:dyDescent="0.2">
      <c r="A31">
        <v>0.29000000000000009</v>
      </c>
      <c r="B31">
        <v>725.25810000000001</v>
      </c>
      <c r="C31">
        <f t="shared" si="0"/>
        <v>4144460.6851660595</v>
      </c>
      <c r="D31">
        <f t="shared" si="1"/>
        <v>4.1444606851660595</v>
      </c>
      <c r="E31">
        <v>17.887624394871676</v>
      </c>
    </row>
    <row r="32" spans="1:5" x14ac:dyDescent="0.2">
      <c r="A32">
        <v>0.3000000000000001</v>
      </c>
      <c r="B32">
        <v>731.47810000000004</v>
      </c>
      <c r="C32">
        <f t="shared" si="0"/>
        <v>4184167.546295641</v>
      </c>
      <c r="D32">
        <f t="shared" si="1"/>
        <v>4.1841675462956411</v>
      </c>
      <c r="E32">
        <v>18.00226562136762</v>
      </c>
    </row>
    <row r="33" spans="1:5" x14ac:dyDescent="0.2">
      <c r="A33">
        <v>0.31000000000000011</v>
      </c>
      <c r="B33">
        <v>731.47810000000004</v>
      </c>
      <c r="C33">
        <f t="shared" si="0"/>
        <v>4171936.4239732791</v>
      </c>
      <c r="D33">
        <f t="shared" si="1"/>
        <v>4.1719364239732792</v>
      </c>
      <c r="E33">
        <v>17.966990468534981</v>
      </c>
    </row>
    <row r="34" spans="1:5" x14ac:dyDescent="0.2">
      <c r="A34">
        <v>0.32000000000000012</v>
      </c>
      <c r="B34">
        <v>734.03809999999999</v>
      </c>
      <c r="C34">
        <f t="shared" si="0"/>
        <v>4182775.7747097155</v>
      </c>
      <c r="D34">
        <f t="shared" si="1"/>
        <v>4.1827757747097154</v>
      </c>
      <c r="E34">
        <v>17.99825340166953</v>
      </c>
    </row>
    <row r="35" spans="1:5" x14ac:dyDescent="0.2">
      <c r="A35">
        <v>0.33000000000000013</v>
      </c>
      <c r="B35">
        <v>735.86810000000003</v>
      </c>
      <c r="C35">
        <f t="shared" si="0"/>
        <v>4188607.2839954933</v>
      </c>
      <c r="D35">
        <f t="shared" si="1"/>
        <v>4.1886072839954931</v>
      </c>
      <c r="E35">
        <v>18.015061620670171</v>
      </c>
    </row>
    <row r="36" spans="1:5" x14ac:dyDescent="0.2">
      <c r="A36">
        <v>0.34000000000000014</v>
      </c>
      <c r="B36">
        <v>738.42809999999997</v>
      </c>
      <c r="C36">
        <f t="shared" si="0"/>
        <v>4201857.25549326</v>
      </c>
      <c r="D36">
        <f t="shared" si="1"/>
        <v>4.2018572554932598</v>
      </c>
      <c r="E36">
        <v>18.053223471817709</v>
      </c>
    </row>
    <row r="37" spans="1:5" x14ac:dyDescent="0.2">
      <c r="A37">
        <v>0.35000000000000014</v>
      </c>
      <c r="B37">
        <v>739.52809999999999</v>
      </c>
      <c r="C37">
        <f t="shared" si="0"/>
        <v>4203927.5546369944</v>
      </c>
      <c r="D37">
        <f t="shared" si="1"/>
        <v>4.2039275546369943</v>
      </c>
      <c r="E37">
        <v>18.059182645840153</v>
      </c>
    </row>
    <row r="38" spans="1:5" x14ac:dyDescent="0.2">
      <c r="A38">
        <v>0.36000000000000015</v>
      </c>
      <c r="B38">
        <v>743.91809999999998</v>
      </c>
      <c r="C38">
        <f t="shared" si="0"/>
        <v>4235167.9182226239</v>
      </c>
      <c r="D38">
        <f t="shared" si="1"/>
        <v>4.2351679182226238</v>
      </c>
      <c r="E38">
        <v>18.148988088937962</v>
      </c>
    </row>
    <row r="39" spans="1:5" x14ac:dyDescent="0.2">
      <c r="A39">
        <v>0.37000000000000016</v>
      </c>
      <c r="B39">
        <v>746.47810000000004</v>
      </c>
      <c r="C39">
        <f t="shared" si="0"/>
        <v>4252105.1224439712</v>
      </c>
      <c r="D39">
        <f t="shared" si="1"/>
        <v>4.2521051224439717</v>
      </c>
      <c r="E39">
        <v>18.197585389396927</v>
      </c>
    </row>
    <row r="40" spans="1:5" x14ac:dyDescent="0.2">
      <c r="A40">
        <v>0.38000000000000017</v>
      </c>
      <c r="B40">
        <v>741.72810000000004</v>
      </c>
      <c r="C40">
        <f t="shared" si="0"/>
        <v>4208261.4664107803</v>
      </c>
      <c r="D40">
        <f t="shared" si="1"/>
        <v>4.2082614664107805</v>
      </c>
      <c r="E40">
        <v>18.071654295109461</v>
      </c>
    </row>
    <row r="41" spans="1:5" x14ac:dyDescent="0.2">
      <c r="A41">
        <v>0.39000000000000018</v>
      </c>
      <c r="B41">
        <v>738.06810000000007</v>
      </c>
      <c r="C41">
        <f t="shared" si="0"/>
        <v>4175084.2433448029</v>
      </c>
      <c r="D41">
        <f t="shared" si="1"/>
        <v>4.175084243344803</v>
      </c>
      <c r="E41">
        <v>17.976072190645393</v>
      </c>
    </row>
    <row r="42" spans="1:5" x14ac:dyDescent="0.2">
      <c r="A42">
        <v>0.40000000000000019</v>
      </c>
      <c r="B42">
        <v>740.62810000000002</v>
      </c>
      <c r="C42">
        <f t="shared" si="0"/>
        <v>4195735.2921195207</v>
      </c>
      <c r="D42">
        <f t="shared" si="1"/>
        <v>4.1957352921195206</v>
      </c>
      <c r="E42">
        <v>18.035596266939326</v>
      </c>
    </row>
    <row r="43" spans="1:5" x14ac:dyDescent="0.2">
      <c r="A43">
        <v>0.4100000000000002</v>
      </c>
      <c r="B43">
        <v>736.23810000000003</v>
      </c>
      <c r="C43">
        <f t="shared" si="0"/>
        <v>4158925.1789799589</v>
      </c>
      <c r="D43">
        <f t="shared" si="1"/>
        <v>4.1589251789799588</v>
      </c>
      <c r="E43">
        <v>17.929427920008912</v>
      </c>
    </row>
    <row r="44" spans="1:5" x14ac:dyDescent="0.2">
      <c r="A44">
        <v>0.42000000000000021</v>
      </c>
      <c r="B44">
        <v>736.59810000000004</v>
      </c>
      <c r="C44">
        <f t="shared" si="0"/>
        <v>4163437.3104453026</v>
      </c>
      <c r="D44">
        <f t="shared" si="1"/>
        <v>4.1634373104453024</v>
      </c>
      <c r="E44">
        <v>17.942458512369409</v>
      </c>
    </row>
    <row r="45" spans="1:5" x14ac:dyDescent="0.2">
      <c r="A45">
        <v>0.43000000000000022</v>
      </c>
      <c r="B45">
        <v>737.69810000000007</v>
      </c>
      <c r="C45">
        <f t="shared" si="0"/>
        <v>4175427.1631681402</v>
      </c>
      <c r="D45">
        <f t="shared" si="1"/>
        <v>4.1754271631681403</v>
      </c>
      <c r="E45">
        <v>17.97706140650163</v>
      </c>
    </row>
    <row r="46" spans="1:5" x14ac:dyDescent="0.2">
      <c r="A46">
        <v>0.44000000000000022</v>
      </c>
      <c r="B46">
        <v>735.86810000000003</v>
      </c>
      <c r="C46">
        <f t="shared" si="0"/>
        <v>4163907.9562590639</v>
      </c>
      <c r="D46">
        <f t="shared" si="1"/>
        <v>4.163907956259064</v>
      </c>
      <c r="E46">
        <v>17.943817422773176</v>
      </c>
    </row>
    <row r="47" spans="1:5" x14ac:dyDescent="0.2">
      <c r="A47">
        <v>0.45000000000000023</v>
      </c>
      <c r="B47">
        <v>734.77809999999999</v>
      </c>
      <c r="C47">
        <f t="shared" si="0"/>
        <v>4159850.7031901334</v>
      </c>
      <c r="D47">
        <f t="shared" si="1"/>
        <v>4.1598507031901333</v>
      </c>
      <c r="E47">
        <v>17.932101123170717</v>
      </c>
    </row>
    <row r="48" spans="1:5" x14ac:dyDescent="0.2">
      <c r="A48">
        <v>0.46000000000000024</v>
      </c>
      <c r="B48">
        <v>734.77809999999999</v>
      </c>
      <c r="C48">
        <f t="shared" si="0"/>
        <v>4166227.5985275921</v>
      </c>
      <c r="D48">
        <f t="shared" si="1"/>
        <v>4.1662275985275921</v>
      </c>
      <c r="E48">
        <v>17.950514258189131</v>
      </c>
    </row>
    <row r="49" spans="1:5" x14ac:dyDescent="0.2">
      <c r="A49">
        <v>0.47000000000000025</v>
      </c>
      <c r="B49">
        <v>730.37810000000002</v>
      </c>
      <c r="C49">
        <f t="shared" si="0"/>
        <v>4136607.9962803433</v>
      </c>
      <c r="D49">
        <f t="shared" si="1"/>
        <v>4.1366079962803433</v>
      </c>
      <c r="E49">
        <v>17.86490934448263</v>
      </c>
    </row>
    <row r="50" spans="1:5" x14ac:dyDescent="0.2">
      <c r="A50">
        <v>0.48000000000000026</v>
      </c>
      <c r="B50">
        <v>730.0181</v>
      </c>
      <c r="C50">
        <f t="shared" si="0"/>
        <v>4142322.3390983362</v>
      </c>
      <c r="D50">
        <f t="shared" si="1"/>
        <v>4.1423223390983361</v>
      </c>
      <c r="E50">
        <v>17.881440324583792</v>
      </c>
    </row>
    <row r="51" spans="1:5" x14ac:dyDescent="0.2">
      <c r="A51">
        <v>0.49000000000000027</v>
      </c>
      <c r="B51">
        <v>727.08810000000005</v>
      </c>
      <c r="C51">
        <f t="shared" si="0"/>
        <v>4127486.7609624872</v>
      </c>
      <c r="D51">
        <f t="shared" si="1"/>
        <v>4.127486760962487</v>
      </c>
      <c r="E51">
        <v>17.838506966405141</v>
      </c>
    </row>
    <row r="52" spans="1:5" x14ac:dyDescent="0.2">
      <c r="A52">
        <v>0.50000000000000022</v>
      </c>
      <c r="B52">
        <v>721.59810000000004</v>
      </c>
      <c r="C52">
        <f t="shared" si="0"/>
        <v>4092114.9268512684</v>
      </c>
      <c r="D52">
        <f t="shared" si="1"/>
        <v>4.0921149268512682</v>
      </c>
      <c r="E52">
        <v>17.735936765795213</v>
      </c>
    </row>
    <row r="53" spans="1:5" x14ac:dyDescent="0.2">
      <c r="A53">
        <v>0.51000000000000023</v>
      </c>
      <c r="B53">
        <v>721.96810000000005</v>
      </c>
      <c r="C53">
        <f t="shared" si="0"/>
        <v>4107492.1876672981</v>
      </c>
      <c r="D53">
        <f t="shared" si="1"/>
        <v>4.1074921876672983</v>
      </c>
      <c r="E53">
        <v>17.780563096546022</v>
      </c>
    </row>
    <row r="54" spans="1:5" x14ac:dyDescent="0.2">
      <c r="A54">
        <v>0.52000000000000024</v>
      </c>
      <c r="B54">
        <v>722.69810000000007</v>
      </c>
      <c r="C54">
        <f t="shared" si="0"/>
        <v>4127251.7846682495</v>
      </c>
      <c r="D54">
        <f t="shared" si="1"/>
        <v>4.1272517846682497</v>
      </c>
      <c r="E54">
        <v>17.837826548480397</v>
      </c>
    </row>
    <row r="55" spans="1:5" x14ac:dyDescent="0.2">
      <c r="A55">
        <v>0.53000000000000025</v>
      </c>
      <c r="B55">
        <v>717.57810000000006</v>
      </c>
      <c r="C55">
        <f t="shared" si="0"/>
        <v>4098425.2289924505</v>
      </c>
      <c r="D55">
        <f t="shared" si="1"/>
        <v>4.0984252289924505</v>
      </c>
      <c r="E55">
        <v>17.754256569900242</v>
      </c>
    </row>
    <row r="56" spans="1:5" x14ac:dyDescent="0.2">
      <c r="A56">
        <v>0.54000000000000026</v>
      </c>
      <c r="B56">
        <v>714.27809999999999</v>
      </c>
      <c r="C56">
        <f t="shared" si="0"/>
        <v>4086180.8030733834</v>
      </c>
      <c r="D56">
        <f t="shared" si="1"/>
        <v>4.0861808030733835</v>
      </c>
      <c r="E56">
        <v>17.718700559552644</v>
      </c>
    </row>
    <row r="57" spans="1:5" x14ac:dyDescent="0.2">
      <c r="A57">
        <v>0.55000000000000027</v>
      </c>
      <c r="B57">
        <v>709.52809999999999</v>
      </c>
      <c r="C57">
        <f t="shared" si="0"/>
        <v>4062646.3438845119</v>
      </c>
      <c r="D57">
        <f t="shared" si="1"/>
        <v>4.062646343884512</v>
      </c>
      <c r="E57">
        <v>17.650261049001902</v>
      </c>
    </row>
    <row r="58" spans="1:5" x14ac:dyDescent="0.2">
      <c r="A58">
        <v>0.56000000000000028</v>
      </c>
      <c r="B58">
        <v>699.27809999999999</v>
      </c>
      <c r="C58">
        <f t="shared" si="0"/>
        <v>3993168.8979110387</v>
      </c>
      <c r="D58">
        <f t="shared" si="1"/>
        <v>3.9931688979110387</v>
      </c>
      <c r="E58">
        <v>17.447448947016621</v>
      </c>
    </row>
    <row r="59" spans="1:5" x14ac:dyDescent="0.2">
      <c r="A59">
        <v>0.57000000000000028</v>
      </c>
      <c r="B59">
        <v>692.68810000000008</v>
      </c>
      <c r="C59">
        <f t="shared" si="0"/>
        <v>3955751.6257928303</v>
      </c>
      <c r="D59">
        <f t="shared" si="1"/>
        <v>3.9557516257928302</v>
      </c>
      <c r="E59">
        <v>17.337741798472926</v>
      </c>
    </row>
    <row r="60" spans="1:5" x14ac:dyDescent="0.2">
      <c r="A60">
        <v>0.58000000000000029</v>
      </c>
      <c r="B60">
        <v>681.71810000000005</v>
      </c>
      <c r="C60">
        <f t="shared" si="0"/>
        <v>3881923.2100892384</v>
      </c>
      <c r="D60">
        <f t="shared" si="1"/>
        <v>3.8819232100892385</v>
      </c>
      <c r="E60">
        <v>17.120267283926889</v>
      </c>
    </row>
    <row r="61" spans="1:5" x14ac:dyDescent="0.2">
      <c r="A61">
        <v>0.5900000000000003</v>
      </c>
      <c r="B61">
        <v>676.95810000000006</v>
      </c>
      <c r="C61">
        <f t="shared" si="0"/>
        <v>3861636.3111011898</v>
      </c>
      <c r="D61">
        <f t="shared" si="1"/>
        <v>3.86163631110119</v>
      </c>
      <c r="E61">
        <v>17.060270321197237</v>
      </c>
    </row>
    <row r="62" spans="1:5" x14ac:dyDescent="0.2">
      <c r="A62">
        <v>0.60000000000000031</v>
      </c>
      <c r="B62">
        <v>674.02809999999999</v>
      </c>
      <c r="C62">
        <f t="shared" si="0"/>
        <v>3857854.2133299713</v>
      </c>
      <c r="D62">
        <f t="shared" si="1"/>
        <v>3.8578542133299711</v>
      </c>
      <c r="E62">
        <v>17.049073562969376</v>
      </c>
    </row>
    <row r="63" spans="1:5" x14ac:dyDescent="0.2">
      <c r="A63">
        <v>0.61000000000000032</v>
      </c>
      <c r="B63">
        <v>667.44810000000007</v>
      </c>
      <c r="C63">
        <f t="shared" si="0"/>
        <v>3823843.5793591524</v>
      </c>
      <c r="D63">
        <f t="shared" si="1"/>
        <v>3.8238435793591523</v>
      </c>
      <c r="E63">
        <v>16.948223015436227</v>
      </c>
    </row>
    <row r="64" spans="1:5" x14ac:dyDescent="0.2">
      <c r="A64">
        <v>0.62000000000000033</v>
      </c>
      <c r="B64">
        <v>661.21810000000005</v>
      </c>
      <c r="C64">
        <f t="shared" si="0"/>
        <v>3793576.0421264628</v>
      </c>
      <c r="D64">
        <f t="shared" si="1"/>
        <v>3.7935760421264626</v>
      </c>
      <c r="E64">
        <v>16.858222545229122</v>
      </c>
    </row>
    <row r="65" spans="1:5" x14ac:dyDescent="0.2">
      <c r="A65">
        <v>0.63000000000000034</v>
      </c>
      <c r="B65">
        <v>652.80810000000008</v>
      </c>
      <c r="C65">
        <f t="shared" si="0"/>
        <v>3745364.6931834384</v>
      </c>
      <c r="D65">
        <f t="shared" si="1"/>
        <v>3.7453646931834386</v>
      </c>
      <c r="E65">
        <v>16.714375162076973</v>
      </c>
    </row>
    <row r="66" spans="1:5" x14ac:dyDescent="0.2">
      <c r="A66">
        <v>0.64000000000000035</v>
      </c>
      <c r="B66">
        <v>645.48810000000003</v>
      </c>
      <c r="C66">
        <f t="shared" si="0"/>
        <v>3707086.1648535021</v>
      </c>
      <c r="D66">
        <f t="shared" si="1"/>
        <v>3.7070861648535018</v>
      </c>
      <c r="E66">
        <v>16.599728569218051</v>
      </c>
    </row>
    <row r="67" spans="1:5" x14ac:dyDescent="0.2">
      <c r="A67">
        <v>0.65000000000000036</v>
      </c>
      <c r="B67">
        <v>640.36810000000003</v>
      </c>
      <c r="C67">
        <f t="shared" ref="C67:C106" si="2">D67*10^6</f>
        <v>3688311.4755450846</v>
      </c>
      <c r="D67">
        <f t="shared" si="1"/>
        <v>3.6883114755450848</v>
      </c>
      <c r="E67">
        <v>16.543354491408461</v>
      </c>
    </row>
    <row r="68" spans="1:5" x14ac:dyDescent="0.2">
      <c r="A68">
        <v>0.66000000000000036</v>
      </c>
      <c r="B68">
        <v>634.50810000000001</v>
      </c>
      <c r="C68">
        <f t="shared" si="2"/>
        <v>3663908.2450588723</v>
      </c>
      <c r="D68">
        <f t="shared" ref="D68:D106" si="3">((E68)/6.9)^(1/0.67)</f>
        <v>3.6639082450588725</v>
      </c>
      <c r="E68">
        <v>16.469938043846398</v>
      </c>
    </row>
    <row r="69" spans="1:5" x14ac:dyDescent="0.2">
      <c r="A69">
        <v>0.67000000000000037</v>
      </c>
      <c r="B69">
        <v>627.18810000000008</v>
      </c>
      <c r="C69">
        <f t="shared" si="2"/>
        <v>3627565.6048355736</v>
      </c>
      <c r="D69">
        <f t="shared" si="3"/>
        <v>3.6275656048355738</v>
      </c>
      <c r="E69">
        <v>16.360302342396089</v>
      </c>
    </row>
    <row r="70" spans="1:5" x14ac:dyDescent="0.2">
      <c r="A70">
        <v>0.68000000000000038</v>
      </c>
      <c r="B70">
        <v>619.87810000000002</v>
      </c>
      <c r="C70">
        <f t="shared" si="2"/>
        <v>3591839.383792141</v>
      </c>
      <c r="D70">
        <f t="shared" si="3"/>
        <v>3.591839383792141</v>
      </c>
      <c r="E70">
        <v>16.252172346322563</v>
      </c>
    </row>
    <row r="71" spans="1:5" x14ac:dyDescent="0.2">
      <c r="A71">
        <v>0.69000000000000039</v>
      </c>
      <c r="B71">
        <v>610.35810000000004</v>
      </c>
      <c r="C71">
        <f t="shared" si="2"/>
        <v>3537480.0992940729</v>
      </c>
      <c r="D71">
        <f t="shared" si="3"/>
        <v>3.5374800992940729</v>
      </c>
      <c r="E71">
        <v>16.086963421328825</v>
      </c>
    </row>
    <row r="72" spans="1:5" x14ac:dyDescent="0.2">
      <c r="A72">
        <v>0.7000000000000004</v>
      </c>
      <c r="B72">
        <v>601.20810000000006</v>
      </c>
      <c r="C72">
        <f t="shared" si="2"/>
        <v>3486643.323776715</v>
      </c>
      <c r="D72">
        <f t="shared" si="3"/>
        <v>3.4866433237767152</v>
      </c>
      <c r="E72">
        <v>15.931700394607448</v>
      </c>
    </row>
    <row r="73" spans="1:5" x14ac:dyDescent="0.2">
      <c r="A73">
        <v>0.71000000000000041</v>
      </c>
      <c r="B73">
        <v>591.69810000000007</v>
      </c>
      <c r="C73">
        <f t="shared" si="2"/>
        <v>3432985.734853744</v>
      </c>
      <c r="D73">
        <f t="shared" si="3"/>
        <v>3.432985734853744</v>
      </c>
      <c r="E73">
        <v>15.767009523104408</v>
      </c>
    </row>
    <row r="74" spans="1:5" x14ac:dyDescent="0.2">
      <c r="A74">
        <v>0.72000000000000042</v>
      </c>
      <c r="B74">
        <v>581.81810000000007</v>
      </c>
      <c r="C74">
        <f t="shared" si="2"/>
        <v>3376356.6439041789</v>
      </c>
      <c r="D74">
        <f t="shared" si="3"/>
        <v>3.3763566439041788</v>
      </c>
      <c r="E74">
        <v>15.592274133454191</v>
      </c>
    </row>
    <row r="75" spans="1:5" x14ac:dyDescent="0.2">
      <c r="A75">
        <v>0.73000000000000043</v>
      </c>
      <c r="B75">
        <v>573.3981</v>
      </c>
      <c r="C75">
        <f t="shared" si="2"/>
        <v>3332554.1279668692</v>
      </c>
      <c r="D75">
        <f t="shared" si="3"/>
        <v>3.3325541279668691</v>
      </c>
      <c r="E75">
        <v>15.456452472429554</v>
      </c>
    </row>
    <row r="76" spans="1:5" x14ac:dyDescent="0.2">
      <c r="A76">
        <v>0.74000000000000044</v>
      </c>
      <c r="B76">
        <v>566.07810000000006</v>
      </c>
      <c r="C76">
        <f t="shared" si="2"/>
        <v>3298540.3290773039</v>
      </c>
      <c r="D76">
        <f t="shared" si="3"/>
        <v>3.2985403290773037</v>
      </c>
      <c r="E76">
        <v>15.350576686607061</v>
      </c>
    </row>
    <row r="77" spans="1:5" x14ac:dyDescent="0.2">
      <c r="A77">
        <v>0.75000000000000044</v>
      </c>
      <c r="B77">
        <v>559.12810000000002</v>
      </c>
      <c r="C77">
        <f t="shared" si="2"/>
        <v>3268047.8218716849</v>
      </c>
      <c r="D77">
        <f t="shared" si="3"/>
        <v>3.2680478218716846</v>
      </c>
      <c r="E77">
        <v>15.255355084287947</v>
      </c>
    </row>
    <row r="78" spans="1:5" x14ac:dyDescent="0.2">
      <c r="A78">
        <v>0.76000000000000045</v>
      </c>
      <c r="B78">
        <v>553.63810000000001</v>
      </c>
      <c r="C78">
        <f t="shared" si="2"/>
        <v>3250650.3338806191</v>
      </c>
      <c r="D78">
        <f t="shared" si="3"/>
        <v>3.250650333880619</v>
      </c>
      <c r="E78">
        <v>15.200895104478548</v>
      </c>
    </row>
    <row r="79" spans="1:5" x14ac:dyDescent="0.2">
      <c r="A79">
        <v>0.77000000000000046</v>
      </c>
      <c r="B79">
        <v>547.05810000000008</v>
      </c>
      <c r="C79">
        <f t="shared" si="2"/>
        <v>3224134.7303383583</v>
      </c>
      <c r="D79">
        <f t="shared" si="3"/>
        <v>3.2241347303383585</v>
      </c>
      <c r="E79">
        <v>15.117706952969581</v>
      </c>
    </row>
    <row r="80" spans="1:5" x14ac:dyDescent="0.2">
      <c r="A80">
        <v>0.78000000000000047</v>
      </c>
      <c r="B80">
        <v>537.17809999999997</v>
      </c>
      <c r="C80">
        <f t="shared" si="2"/>
        <v>3168839.0493764728</v>
      </c>
      <c r="D80">
        <f t="shared" si="3"/>
        <v>3.1688390493764729</v>
      </c>
      <c r="E80">
        <v>14.943496016684451</v>
      </c>
    </row>
    <row r="81" spans="1:5" x14ac:dyDescent="0.2">
      <c r="A81">
        <v>0.79000000000000048</v>
      </c>
      <c r="B81">
        <v>523.99810000000002</v>
      </c>
      <c r="C81">
        <f t="shared" si="2"/>
        <v>3084461.4926651032</v>
      </c>
      <c r="D81">
        <f t="shared" si="3"/>
        <v>3.0844614926651031</v>
      </c>
      <c r="E81">
        <v>14.675714589215477</v>
      </c>
    </row>
    <row r="82" spans="1:5" x14ac:dyDescent="0.2">
      <c r="A82">
        <v>0.80000000000000049</v>
      </c>
      <c r="B82">
        <v>508.99810000000002</v>
      </c>
      <c r="C82">
        <f t="shared" si="2"/>
        <v>2983903.5454803375</v>
      </c>
      <c r="D82">
        <f t="shared" si="3"/>
        <v>2.9839035454803375</v>
      </c>
      <c r="E82">
        <v>14.353403494613797</v>
      </c>
    </row>
    <row r="83" spans="1:5" x14ac:dyDescent="0.2">
      <c r="A83">
        <v>0.8100000000000005</v>
      </c>
      <c r="B83">
        <v>495.09810000000004</v>
      </c>
      <c r="C83">
        <f t="shared" si="2"/>
        <v>2892657.927784285</v>
      </c>
      <c r="D83">
        <f t="shared" si="3"/>
        <v>2.8926579277842852</v>
      </c>
      <c r="E83">
        <v>14.057825033523285</v>
      </c>
    </row>
    <row r="84" spans="1:5" x14ac:dyDescent="0.2">
      <c r="A84">
        <v>0.82000000000000051</v>
      </c>
      <c r="B84">
        <v>479.72810000000004</v>
      </c>
      <c r="C84">
        <f t="shared" si="2"/>
        <v>2788341.2513448941</v>
      </c>
      <c r="D84">
        <f t="shared" si="3"/>
        <v>2.7883412513448942</v>
      </c>
      <c r="E84">
        <v>13.716106851632262</v>
      </c>
    </row>
    <row r="85" spans="1:5" x14ac:dyDescent="0.2">
      <c r="A85">
        <v>0.83000000000000052</v>
      </c>
      <c r="B85">
        <v>471.67810000000003</v>
      </c>
      <c r="C85">
        <f t="shared" si="2"/>
        <v>2747119.3095892132</v>
      </c>
      <c r="D85">
        <f t="shared" si="3"/>
        <v>2.747119309589213</v>
      </c>
      <c r="E85">
        <v>13.579914330926432</v>
      </c>
    </row>
    <row r="86" spans="1:5" x14ac:dyDescent="0.2">
      <c r="A86">
        <v>0.84000000000000052</v>
      </c>
      <c r="B86">
        <v>460.69810000000001</v>
      </c>
      <c r="C86">
        <f t="shared" si="2"/>
        <v>2680306.5399643155</v>
      </c>
      <c r="D86">
        <f t="shared" si="3"/>
        <v>2.6803065399643153</v>
      </c>
      <c r="E86">
        <v>13.357730681906965</v>
      </c>
    </row>
    <row r="87" spans="1:5" x14ac:dyDescent="0.2">
      <c r="A87">
        <v>0.85000000000000053</v>
      </c>
      <c r="B87">
        <v>448.25810000000001</v>
      </c>
      <c r="C87">
        <f t="shared" si="2"/>
        <v>2600504.1409221874</v>
      </c>
      <c r="D87">
        <f t="shared" si="3"/>
        <v>2.6005041409221872</v>
      </c>
      <c r="E87">
        <v>13.089939792604198</v>
      </c>
    </row>
    <row r="88" spans="1:5" x14ac:dyDescent="0.2">
      <c r="A88">
        <v>0.86000000000000054</v>
      </c>
      <c r="B88">
        <v>417.5181</v>
      </c>
      <c r="C88">
        <f t="shared" si="2"/>
        <v>2364000.7236859039</v>
      </c>
      <c r="D88">
        <f t="shared" si="3"/>
        <v>2.364000723685904</v>
      </c>
      <c r="E88">
        <v>12.279847860143594</v>
      </c>
    </row>
    <row r="89" spans="1:5" x14ac:dyDescent="0.2">
      <c r="A89">
        <v>0.87000000000000055</v>
      </c>
      <c r="B89">
        <v>349.81810000000002</v>
      </c>
      <c r="C89">
        <f t="shared" si="2"/>
        <v>1834124.256117559</v>
      </c>
      <c r="D89">
        <f t="shared" si="3"/>
        <v>1.834124256117559</v>
      </c>
      <c r="E89">
        <v>10.359680369502419</v>
      </c>
    </row>
    <row r="90" spans="1:5" x14ac:dyDescent="0.2">
      <c r="A90">
        <v>0.88000000000000056</v>
      </c>
      <c r="B90">
        <v>315.78810000000004</v>
      </c>
      <c r="C90">
        <f t="shared" si="2"/>
        <v>1588297.1372282696</v>
      </c>
      <c r="D90">
        <f t="shared" si="3"/>
        <v>1.5882971372282695</v>
      </c>
      <c r="E90">
        <v>9.407481335028864</v>
      </c>
    </row>
    <row r="91" spans="1:5" x14ac:dyDescent="0.2">
      <c r="A91">
        <v>0.89000000000000057</v>
      </c>
      <c r="B91">
        <v>286.1481</v>
      </c>
      <c r="C91">
        <f t="shared" si="2"/>
        <v>1382283.0072732498</v>
      </c>
      <c r="D91">
        <f t="shared" si="3"/>
        <v>1.3822830072732497</v>
      </c>
      <c r="E91">
        <v>8.5713466598900698</v>
      </c>
    </row>
    <row r="92" spans="1:5" x14ac:dyDescent="0.2">
      <c r="A92">
        <v>0.90000000000000058</v>
      </c>
      <c r="B92">
        <v>256.1481</v>
      </c>
      <c r="C92">
        <f t="shared" si="2"/>
        <v>1180588.0546237477</v>
      </c>
      <c r="D92">
        <f t="shared" si="3"/>
        <v>1.1805880546237477</v>
      </c>
      <c r="E92">
        <v>7.7117866915434652</v>
      </c>
    </row>
    <row r="93" spans="1:5" x14ac:dyDescent="0.2">
      <c r="A93">
        <v>0.91000000000000059</v>
      </c>
      <c r="B93">
        <v>228.69810000000001</v>
      </c>
      <c r="C93">
        <f t="shared" si="2"/>
        <v>1003760.3106095365</v>
      </c>
      <c r="D93">
        <f t="shared" si="3"/>
        <v>1.0037603106095365</v>
      </c>
      <c r="E93">
        <v>6.9173731480170275</v>
      </c>
    </row>
    <row r="94" spans="1:5" x14ac:dyDescent="0.2">
      <c r="A94">
        <v>0.9200000000000006</v>
      </c>
      <c r="B94">
        <v>197.96809999999999</v>
      </c>
      <c r="C94">
        <f t="shared" si="2"/>
        <v>814387.17118974391</v>
      </c>
      <c r="D94">
        <f t="shared" si="3"/>
        <v>0.81438717118974391</v>
      </c>
      <c r="E94">
        <v>6.0132022270502716</v>
      </c>
    </row>
    <row r="95" spans="1:5" x14ac:dyDescent="0.2">
      <c r="A95">
        <v>0.9300000000000006</v>
      </c>
      <c r="B95">
        <v>170.5181</v>
      </c>
      <c r="C95">
        <f t="shared" si="2"/>
        <v>655364.80827116384</v>
      </c>
      <c r="D95">
        <f t="shared" si="3"/>
        <v>0.65536480827116383</v>
      </c>
      <c r="E95">
        <v>5.198676330414707</v>
      </c>
    </row>
    <row r="96" spans="1:5" x14ac:dyDescent="0.2">
      <c r="A96">
        <v>0.94000000000000061</v>
      </c>
      <c r="B96">
        <v>144.53809999999999</v>
      </c>
      <c r="C96">
        <f t="shared" si="2"/>
        <v>514562.36228773621</v>
      </c>
      <c r="D96">
        <f t="shared" si="3"/>
        <v>0.51456236228773622</v>
      </c>
      <c r="E96">
        <v>4.420919040375817</v>
      </c>
    </row>
    <row r="97" spans="1:5" x14ac:dyDescent="0.2">
      <c r="A97">
        <v>0.95000000000000062</v>
      </c>
      <c r="B97">
        <v>118.5581</v>
      </c>
      <c r="C97">
        <f t="shared" si="2"/>
        <v>384420.46254808543</v>
      </c>
      <c r="D97">
        <f t="shared" si="3"/>
        <v>0.38442046254808543</v>
      </c>
      <c r="E97">
        <v>3.6363815338853147</v>
      </c>
    </row>
    <row r="98" spans="1:5" x14ac:dyDescent="0.2">
      <c r="A98">
        <v>0.96000000000000063</v>
      </c>
      <c r="B98">
        <v>94.774100000000004</v>
      </c>
      <c r="C98">
        <f t="shared" si="2"/>
        <v>276162.01414375921</v>
      </c>
      <c r="D98">
        <f t="shared" si="3"/>
        <v>0.27616201414375924</v>
      </c>
      <c r="E98">
        <v>2.9135933119554287</v>
      </c>
    </row>
    <row r="99" spans="1:5" x14ac:dyDescent="0.2">
      <c r="A99">
        <v>0.97000000000000064</v>
      </c>
      <c r="B99">
        <v>72.453100000000006</v>
      </c>
      <c r="C99">
        <f t="shared" si="2"/>
        <v>185476.83743175896</v>
      </c>
      <c r="D99">
        <f t="shared" si="3"/>
        <v>0.18547683743175897</v>
      </c>
      <c r="E99">
        <v>2.2315323020805726</v>
      </c>
    </row>
    <row r="100" spans="1:5" x14ac:dyDescent="0.2">
      <c r="A100">
        <v>0.98000000000000065</v>
      </c>
      <c r="B100">
        <v>53.4251</v>
      </c>
      <c r="C100">
        <f t="shared" si="2"/>
        <v>117960.46657724738</v>
      </c>
      <c r="D100">
        <f t="shared" si="3"/>
        <v>0.11796046657724739</v>
      </c>
      <c r="E100">
        <v>1.64783048644941</v>
      </c>
    </row>
    <row r="101" spans="1:5" x14ac:dyDescent="0.2">
      <c r="A101">
        <v>0.99000000000000066</v>
      </c>
      <c r="B101">
        <v>38.7881</v>
      </c>
      <c r="C101">
        <f t="shared" si="2"/>
        <v>73264.021222172451</v>
      </c>
      <c r="D101">
        <f t="shared" si="3"/>
        <v>7.3264021222172446E-2</v>
      </c>
      <c r="E101">
        <v>1.1976389023944558</v>
      </c>
    </row>
    <row r="102" spans="1:5" x14ac:dyDescent="0.2">
      <c r="A102">
        <v>1.0000000000000007</v>
      </c>
      <c r="B102">
        <v>27.444099999999999</v>
      </c>
      <c r="C102">
        <f t="shared" si="2"/>
        <v>43766.142466863814</v>
      </c>
      <c r="D102">
        <f t="shared" si="3"/>
        <v>4.3766142466863812E-2</v>
      </c>
      <c r="E102">
        <v>0.84803100616727412</v>
      </c>
    </row>
    <row r="103" spans="1:5" x14ac:dyDescent="0.2">
      <c r="A103">
        <v>1.0100000000000007</v>
      </c>
      <c r="B103">
        <v>19.760100000000001</v>
      </c>
      <c r="C103">
        <f t="shared" si="2"/>
        <v>26826.758256093992</v>
      </c>
      <c r="D103">
        <f t="shared" si="3"/>
        <v>2.6826758256093992E-2</v>
      </c>
      <c r="E103">
        <v>0.61092765076315725</v>
      </c>
    </row>
    <row r="104" spans="1:5" x14ac:dyDescent="0.2">
      <c r="A104">
        <v>1.0200000000000007</v>
      </c>
      <c r="B104">
        <v>15.3688</v>
      </c>
      <c r="C104">
        <f t="shared" si="2"/>
        <v>18446.548665068291</v>
      </c>
      <c r="D104">
        <f t="shared" si="3"/>
        <v>1.8446548665068292E-2</v>
      </c>
      <c r="E104">
        <v>0.47534860358256215</v>
      </c>
    </row>
    <row r="105" spans="1:5" x14ac:dyDescent="0.2">
      <c r="A105">
        <v>1.0300000000000007</v>
      </c>
      <c r="B105">
        <v>13.173200000000001</v>
      </c>
      <c r="C105">
        <f t="shared" si="2"/>
        <v>14661.933042333882</v>
      </c>
      <c r="D105">
        <f t="shared" si="3"/>
        <v>1.4661933042333881E-2</v>
      </c>
      <c r="E105">
        <v>0.40756531396890228</v>
      </c>
    </row>
    <row r="106" spans="1:5" x14ac:dyDescent="0.2">
      <c r="A106">
        <v>1.0300000000000007</v>
      </c>
      <c r="B106">
        <v>0</v>
      </c>
      <c r="C106">
        <f t="shared" si="2"/>
        <v>0</v>
      </c>
      <c r="D106">
        <f t="shared" si="3"/>
        <v>0</v>
      </c>
      <c r="E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delta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Clarke</dc:creator>
  <cp:lastModifiedBy>Daniel Clarke</cp:lastModifiedBy>
  <dcterms:created xsi:type="dcterms:W3CDTF">2026-01-09T21:11:13Z</dcterms:created>
  <dcterms:modified xsi:type="dcterms:W3CDTF">2026-01-11T00:58:49Z</dcterms:modified>
</cp:coreProperties>
</file>